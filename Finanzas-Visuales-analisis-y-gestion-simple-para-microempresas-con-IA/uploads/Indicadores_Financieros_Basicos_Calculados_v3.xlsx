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amsung\Proyecto\Proyecto_python\"/>
    </mc:Choice>
  </mc:AlternateContent>
  <xr:revisionPtr revIDLastSave="0" documentId="13_ncr:1_{B34A4B12-F5AF-4A47-B1D3-7959AD499627}" xr6:coauthVersionLast="47" xr6:coauthVersionMax="47" xr10:uidLastSave="{00000000-0000-0000-0000-000000000000}"/>
  <bookViews>
    <workbookView xWindow="10140" yWindow="0" windowWidth="10455" windowHeight="10905" firstSheet="4" activeTab="4" xr2:uid="{00000000-000D-0000-FFFF-FFFF00000000}"/>
  </bookViews>
  <sheets>
    <sheet name="Instrucciones" sheetId="1" r:id="rId1"/>
    <sheet name="Datos_empresa" sheetId="2" r:id="rId2"/>
    <sheet name="estado_resultados" sheetId="3" r:id="rId3"/>
    <sheet name="balance_general" sheetId="4" r:id="rId4"/>
    <sheet name="datos_equilibri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4" l="1"/>
  <c r="B9" i="5"/>
  <c r="B26" i="3"/>
  <c r="B27" i="3"/>
  <c r="B23" i="3"/>
  <c r="B22" i="3"/>
  <c r="B21" i="3"/>
  <c r="B20" i="3"/>
  <c r="B19" i="3"/>
  <c r="B18" i="3"/>
  <c r="C14" i="3"/>
  <c r="B14" i="3"/>
  <c r="C13" i="3"/>
  <c r="B13" i="3"/>
  <c r="C5" i="3"/>
  <c r="B5" i="3"/>
  <c r="C28" i="4"/>
  <c r="C26" i="4"/>
  <c r="B28" i="4"/>
  <c r="B27" i="4"/>
  <c r="B26" i="4"/>
  <c r="B25" i="4"/>
  <c r="B24" i="4"/>
  <c r="B23" i="4"/>
  <c r="C19" i="4"/>
  <c r="B19" i="4"/>
  <c r="C17" i="4"/>
  <c r="B17" i="4"/>
  <c r="C12" i="4"/>
  <c r="B12" i="4"/>
  <c r="C7" i="4"/>
  <c r="B7" i="4"/>
</calcChain>
</file>

<file path=xl/sharedStrings.xml><?xml version="1.0" encoding="utf-8"?>
<sst xmlns="http://schemas.openxmlformats.org/spreadsheetml/2006/main" count="110" uniqueCount="92">
  <si>
    <t>INSTRUCCIONES PARA LLENAR LA PLANTILLA</t>
  </si>
  <si>
    <t>1. Solo llene las celdas en COLOR AMARILLO</t>
  </si>
  <si>
    <t>2. No modifique los nombres de las hojas</t>
  </si>
  <si>
    <t>3. Use números sin símbolos (ej: 1000, no Q1,000)</t>
  </si>
  <si>
    <t>4. Complete ambos años para comparación</t>
  </si>
  <si>
    <t>DATOS NECESARIOS:</t>
  </si>
  <si>
    <t>• Estados de resultados de 2 años consecutivos</t>
  </si>
  <si>
    <t>• Balance general de los mismos 2 años</t>
  </si>
  <si>
    <t>• Información de costos para punto de equilibrio</t>
  </si>
  <si>
    <t>DATO EMPRESA</t>
  </si>
  <si>
    <t>VALOR</t>
  </si>
  <si>
    <t>Nombre de la empresa</t>
  </si>
  <si>
    <t>Ejemplo S.A.</t>
  </si>
  <si>
    <t>Tipo de negocio</t>
  </si>
  <si>
    <t>Tienda minorista</t>
  </si>
  <si>
    <t>Moneda</t>
  </si>
  <si>
    <t>Quetzales</t>
  </si>
  <si>
    <t>Fecha de corte</t>
  </si>
  <si>
    <t>31/12/2024</t>
  </si>
  <si>
    <t>CONCEPTO</t>
  </si>
  <si>
    <t>AÑO_ANTERIOR</t>
  </si>
  <si>
    <t>AÑO_ACTUAL</t>
  </si>
  <si>
    <t>NOTAS</t>
  </si>
  <si>
    <t>INGRESOS:</t>
  </si>
  <si>
    <t>Ventas totales</t>
  </si>
  <si>
    <t>Ingresos principales</t>
  </si>
  <si>
    <t>Otros ingresos</t>
  </si>
  <si>
    <t>Ingresos adicionales</t>
  </si>
  <si>
    <t>COSTOS Y GASTOS:</t>
  </si>
  <si>
    <t>Costo de ventas</t>
  </si>
  <si>
    <t>Costo de productos vendidos</t>
  </si>
  <si>
    <t>Gastos de operación</t>
  </si>
  <si>
    <t>Sueldos, alquiler, etc.</t>
  </si>
  <si>
    <t>Gastos financieros</t>
  </si>
  <si>
    <t>Intereses de préstamos</t>
  </si>
  <si>
    <t>Impuestos</t>
  </si>
  <si>
    <t>Impuesto sobre la renta</t>
  </si>
  <si>
    <t>ACTIVOS:</t>
  </si>
  <si>
    <t>Efectivo y bancos</t>
  </si>
  <si>
    <t>Dinero disponible</t>
  </si>
  <si>
    <t>Cuentas por cobrar</t>
  </si>
  <si>
    <t>Lo que te deben clientes</t>
  </si>
  <si>
    <t>Inventarios</t>
  </si>
  <si>
    <t>Productos en almacén</t>
  </si>
  <si>
    <t>Activos fijos</t>
  </si>
  <si>
    <t>Equipos, vehículos, etc.</t>
  </si>
  <si>
    <t>PASIVOS:</t>
  </si>
  <si>
    <t>Deudas corto plazo</t>
  </si>
  <si>
    <t>Préstamos &lt; 1 año</t>
  </si>
  <si>
    <t>Deudas largo plazo</t>
  </si>
  <si>
    <t>Préstamos &gt; 1 año</t>
  </si>
  <si>
    <t>PATRIMONIO:</t>
  </si>
  <si>
    <t>Capital</t>
  </si>
  <si>
    <t>Aportes de los socios</t>
  </si>
  <si>
    <t>Utilidades acumuladas</t>
  </si>
  <si>
    <t>Ganancias de años anteriores</t>
  </si>
  <si>
    <t>Precio de venta unitario</t>
  </si>
  <si>
    <t>Precio promedio por unidad</t>
  </si>
  <si>
    <t>Costo variable unitario</t>
  </si>
  <si>
    <t>Costo por unidad vendida</t>
  </si>
  <si>
    <t>Costos fijos mensuales</t>
  </si>
  <si>
    <t>Gastos fijos cada mes</t>
  </si>
  <si>
    <t>Unidades vendidas mensuales</t>
  </si>
  <si>
    <t>Ventas promedio por mes</t>
  </si>
  <si>
    <t xml:space="preserve">Total de Activos </t>
  </si>
  <si>
    <t>Suma de todos los activos</t>
  </si>
  <si>
    <t>Total Pasivos</t>
  </si>
  <si>
    <t xml:space="preserve">Total patrimonio </t>
  </si>
  <si>
    <t>Total pasivo + patrimonio</t>
  </si>
  <si>
    <t xml:space="preserve">Debe ser igual al total de activos </t>
  </si>
  <si>
    <t xml:space="preserve">Análisis Vertical </t>
  </si>
  <si>
    <t xml:space="preserve">item </t>
  </si>
  <si>
    <t>%</t>
  </si>
  <si>
    <t xml:space="preserve">Pasivos </t>
  </si>
  <si>
    <t xml:space="preserve">Patrimonio </t>
  </si>
  <si>
    <t>Total en %</t>
  </si>
  <si>
    <t xml:space="preserve">Análisis Horizontal </t>
  </si>
  <si>
    <t>Utilidad neta</t>
  </si>
  <si>
    <t>Total</t>
  </si>
  <si>
    <t xml:space="preserve">Total de ingresos - total costos y gastos </t>
  </si>
  <si>
    <t xml:space="preserve">Interpretación </t>
  </si>
  <si>
    <t>Las ventas crecieron un 21%, lo cual indica un aumento positivo en la demanda o en la eficiencia comercial. La empresa está generando más ingresos respecto al periodo anterior.</t>
  </si>
  <si>
    <t>El incremento es aún mayor que el de las ventas, lo que puede reflejar diversificación de fuentes de ingreso (por ejemplo, rentas, servicios adicionales, inversiones o ingresos financieros). Esto fortalece la estructura de ingresos.</t>
  </si>
  <si>
    <t>Crece al mismo ritmo que las ventas, lo que sugiere que los costos se mantienen controlados; la empresa mantiene su margen bruto estable, sin deterioro de eficiencia productiva.</t>
  </si>
  <si>
    <t>Aumentan en menor proporción que las ventas, lo que es positivo. Indica mejor gestión administrativa y de control de gastos, o un mayor aprovechamiento de economías de escala</t>
  </si>
  <si>
    <t>El crecimiento es ligeramente mayor que el de las ventas; esto puede deberse a mayor endeudamiento o tasas de interés más altas. Conviene vigilar este rubro para evitar que afecte la rentabilidad neta.</t>
  </si>
  <si>
    <t>Aumentan casi en la misma proporción que la utilidad antes de impuestos, lo que es coherente con el crecimiento de las utilidades. Refleja un mayor volumen de operaciones y ganancias.</t>
  </si>
  <si>
    <t xml:space="preserve">ROA </t>
  </si>
  <si>
    <t>ROE</t>
  </si>
  <si>
    <t xml:space="preserve">Punto de Equilibrio </t>
  </si>
  <si>
    <t xml:space="preserve">Liquidez </t>
  </si>
  <si>
    <t>Por cada quetzal de deuda a corto plazo, la empresa tiene Q2.125 disponibles en activos corrientes.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</si>
</sst>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/>
    <xf numFmtId="0" fontId="0" fillId="3" borderId="1" xfId="0" applyFill="1" applyBorder="1"/>
    <xf numFmtId="0" fontId="1" fillId="0" borderId="1" xfId="0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2" xfId="0" applyBorder="1"/>
    <xf numFmtId="0" fontId="0" fillId="0" borderId="0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Fill="1" applyBorder="1"/>
    <xf numFmtId="0" fontId="0" fillId="0" borderId="2" xfId="0" applyFill="1" applyBorder="1"/>
    <xf numFmtId="0" fontId="0" fillId="0" borderId="1" xfId="0" applyFill="1" applyBorder="1"/>
    <xf numFmtId="0" fontId="1" fillId="0" borderId="1" xfId="0" applyFont="1" applyFill="1" applyBorder="1"/>
    <xf numFmtId="0" fontId="0" fillId="0" borderId="0" xfId="0" applyFont="1"/>
    <xf numFmtId="0" fontId="0" fillId="0" borderId="9" xfId="0" applyBorder="1"/>
    <xf numFmtId="9" fontId="0" fillId="0" borderId="9" xfId="1" applyFont="1" applyBorder="1"/>
    <xf numFmtId="0" fontId="0" fillId="0" borderId="10" xfId="0" applyBorder="1"/>
    <xf numFmtId="9" fontId="0" fillId="0" borderId="10" xfId="1" applyFont="1" applyBorder="1"/>
    <xf numFmtId="0" fontId="0" fillId="4" borderId="11" xfId="0" applyFill="1" applyBorder="1"/>
    <xf numFmtId="9" fontId="0" fillId="4" borderId="12" xfId="1" applyFont="1" applyFill="1" applyBorder="1"/>
    <xf numFmtId="0" fontId="0" fillId="4" borderId="13" xfId="0" applyFill="1" applyBorder="1"/>
    <xf numFmtId="9" fontId="0" fillId="4" borderId="14" xfId="1" applyFont="1" applyFill="1" applyBorder="1"/>
    <xf numFmtId="0" fontId="0" fillId="4" borderId="6" xfId="0" applyFill="1" applyBorder="1"/>
    <xf numFmtId="0" fontId="0" fillId="4" borderId="8" xfId="0" applyFill="1" applyBorder="1"/>
    <xf numFmtId="0" fontId="2" fillId="4" borderId="6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estado_resultados!$B$17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estado_resultados!$A$18:$A$23</c:f>
              <c:strCache>
                <c:ptCount val="6"/>
                <c:pt idx="0">
                  <c:v>Ventas totales</c:v>
                </c:pt>
                <c:pt idx="1">
                  <c:v>Otros ingresos</c:v>
                </c:pt>
                <c:pt idx="2">
                  <c:v>Costo de ventas</c:v>
                </c:pt>
                <c:pt idx="3">
                  <c:v>Gastos de operación</c:v>
                </c:pt>
                <c:pt idx="4">
                  <c:v>Gastos financieros</c:v>
                </c:pt>
                <c:pt idx="5">
                  <c:v>Impuestos</c:v>
                </c:pt>
              </c:strCache>
            </c:strRef>
          </c:cat>
          <c:val>
            <c:numRef>
              <c:f>estado_resultados!$B$18:$B$23</c:f>
              <c:numCache>
                <c:formatCode>0%</c:formatCode>
                <c:ptCount val="6"/>
                <c:pt idx="0">
                  <c:v>0.20833333333333334</c:v>
                </c:pt>
                <c:pt idx="1">
                  <c:v>0.33333333333333331</c:v>
                </c:pt>
                <c:pt idx="2">
                  <c:v>0.20833333333333334</c:v>
                </c:pt>
                <c:pt idx="3">
                  <c:v>0.10714285714285714</c:v>
                </c:pt>
                <c:pt idx="4">
                  <c:v>0.22222222222222221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1-4EF3-BF82-A237B9395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4852511"/>
        <c:axId val="1984850111"/>
      </c:barChart>
      <c:catAx>
        <c:axId val="19848525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Concepto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984850111"/>
        <c:crosses val="autoZero"/>
        <c:auto val="1"/>
        <c:lblAlgn val="ctr"/>
        <c:lblOffset val="100"/>
        <c:noMultiLvlLbl val="0"/>
      </c:catAx>
      <c:valAx>
        <c:axId val="198485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%Variación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98485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Análisis Vertical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balance_general!$A$23:$A$26</c:f>
              <c:strCache>
                <c:ptCount val="4"/>
                <c:pt idx="0">
                  <c:v>Efectivo y bancos</c:v>
                </c:pt>
                <c:pt idx="1">
                  <c:v>Cuentas por cobrar</c:v>
                </c:pt>
                <c:pt idx="2">
                  <c:v>Inventarios</c:v>
                </c:pt>
                <c:pt idx="3">
                  <c:v>Activos fijos</c:v>
                </c:pt>
              </c:strCache>
            </c:strRef>
          </c:cat>
          <c:val>
            <c:numRef>
              <c:f>balance_general!$B$23:$B$26</c:f>
              <c:numCache>
                <c:formatCode>General</c:formatCode>
                <c:ptCount val="4"/>
                <c:pt idx="0">
                  <c:v>14.117647058823529</c:v>
                </c:pt>
                <c:pt idx="1">
                  <c:v>21.176470588235293</c:v>
                </c:pt>
                <c:pt idx="2">
                  <c:v>23.52941176470588</c:v>
                </c:pt>
                <c:pt idx="3">
                  <c:v>41.17647058823529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4-47C3-9929-4861FCCDE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499560</xdr:colOff>
      <xdr:row>24</xdr:row>
      <xdr:rowOff>75197</xdr:rowOff>
    </xdr:from>
    <xdr:to>
      <xdr:col>6</xdr:col>
      <xdr:colOff>539665</xdr:colOff>
      <xdr:row>38</xdr:row>
      <xdr:rowOff>148891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EA29EE-CB80-2F9C-50CE-25514A2FC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201083</xdr:colOff>
      <xdr:row>19</xdr:row>
      <xdr:rowOff>184149</xdr:rowOff>
    </xdr:from>
    <xdr:to>
      <xdr:col>5</xdr:col>
      <xdr:colOff>650874</xdr:colOff>
      <xdr:row>33</xdr:row>
      <xdr:rowOff>158750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89D818-2CA6-85CA-7294-59F8442D0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5</xdr:row>
      <xdr:rowOff>190500</xdr:rowOff>
    </xdr:from>
    <xdr:to>
      <xdr:col>4</xdr:col>
      <xdr:colOff>457199</xdr:colOff>
      <xdr:row>19</xdr:row>
      <xdr:rowOff>85724</xdr:rowOff>
    </xdr:to>
    <xdr:pic>
      <xdr:nvPicPr>
        <xdr:cNvPr id="2" name="Imagen 1" descr="Imagen generada">
          <a:extLst>
            <a:ext uri="{FF2B5EF4-FFF2-40B4-BE49-F238E27FC236}">
              <a16:creationId xmlns:a16="http://schemas.microsoft.com/office/drawing/2014/main" id="{F95A8D55-AFC9-6C27-1D7E-1590EDCB8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1152525"/>
          <a:ext cx="2581274" cy="2581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workbookViewId="0">
      <pane ySplit="1" topLeftCell="A2" activePane="bottomLeft" state="frozen"/>
      <selection pane="bottomLeft" activeCell="B51" sqref="B51"/>
    </sheetView>
  </sheetViews>
  <sheetFormatPr baseColWidth="10" defaultColWidth="9.140625" defaultRowHeight="15" x14ac:dyDescent="0.25"/>
  <cols>
    <col min="1" max="1" width="45" customWidth="1"/>
    <col min="2" max="2" width="15.85546875" bestFit="1" customWidth="1"/>
    <col min="3" max="3" width="26" bestFit="1" customWidth="1"/>
    <col min="4" max="4" width="27" bestFit="1" customWidth="1"/>
  </cols>
  <sheetData>
    <row r="1" spans="1:2" x14ac:dyDescent="0.25">
      <c r="A1" s="1" t="s">
        <v>0</v>
      </c>
    </row>
    <row r="2" spans="1:2" x14ac:dyDescent="0.25">
      <c r="A2" s="2" t="s">
        <v>1</v>
      </c>
    </row>
    <row r="3" spans="1:2" x14ac:dyDescent="0.25">
      <c r="A3" s="2" t="s">
        <v>2</v>
      </c>
    </row>
    <row r="4" spans="1:2" x14ac:dyDescent="0.25">
      <c r="A4" s="2" t="s">
        <v>3</v>
      </c>
    </row>
    <row r="5" spans="1:2" x14ac:dyDescent="0.25">
      <c r="A5" s="2" t="s">
        <v>4</v>
      </c>
    </row>
    <row r="6" spans="1:2" x14ac:dyDescent="0.25">
      <c r="A6" s="2"/>
    </row>
    <row r="7" spans="1:2" x14ac:dyDescent="0.25">
      <c r="A7" s="2" t="s">
        <v>5</v>
      </c>
    </row>
    <row r="8" spans="1:2" x14ac:dyDescent="0.25">
      <c r="A8" s="2" t="s">
        <v>6</v>
      </c>
    </row>
    <row r="9" spans="1:2" x14ac:dyDescent="0.25">
      <c r="A9" s="2" t="s">
        <v>7</v>
      </c>
    </row>
    <row r="10" spans="1:2" x14ac:dyDescent="0.25">
      <c r="A10" s="2" t="s">
        <v>8</v>
      </c>
    </row>
    <row r="13" spans="1:2" x14ac:dyDescent="0.25">
      <c r="A13" s="6"/>
      <c r="B13" s="6"/>
    </row>
    <row r="20" spans="1:4" x14ac:dyDescent="0.25">
      <c r="A20" s="7"/>
      <c r="B20" s="7"/>
      <c r="C20" s="7"/>
      <c r="D20" s="7"/>
    </row>
    <row r="34" spans="1:4" x14ac:dyDescent="0.25">
      <c r="A34" s="7"/>
      <c r="B34" s="7"/>
      <c r="C34" s="7"/>
      <c r="D34" s="7"/>
    </row>
    <row r="52" spans="1:4" x14ac:dyDescent="0.25">
      <c r="A52" s="7"/>
      <c r="B52" s="7"/>
      <c r="C52" s="7"/>
      <c r="D52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5375-28B8-4B21-A1FE-295D8E8D628D}">
  <dimension ref="A1:B5"/>
  <sheetViews>
    <sheetView workbookViewId="0">
      <selection activeCell="B10" sqref="B10"/>
    </sheetView>
  </sheetViews>
  <sheetFormatPr baseColWidth="10" defaultRowHeight="15" x14ac:dyDescent="0.25"/>
  <cols>
    <col min="1" max="1" width="21.42578125" bestFit="1" customWidth="1"/>
    <col min="2" max="2" width="15.85546875" bestFit="1" customWidth="1"/>
  </cols>
  <sheetData>
    <row r="1" spans="1:2" ht="30" x14ac:dyDescent="0.25">
      <c r="A1" s="1" t="s">
        <v>9</v>
      </c>
      <c r="B1" s="1" t="s">
        <v>10</v>
      </c>
    </row>
    <row r="2" spans="1:2" x14ac:dyDescent="0.25">
      <c r="A2" s="3" t="s">
        <v>11</v>
      </c>
      <c r="B2" s="4" t="s">
        <v>12</v>
      </c>
    </row>
    <row r="3" spans="1:2" x14ac:dyDescent="0.25">
      <c r="A3" s="3" t="s">
        <v>13</v>
      </c>
      <c r="B3" s="4" t="s">
        <v>14</v>
      </c>
    </row>
    <row r="4" spans="1:2" x14ac:dyDescent="0.25">
      <c r="A4" s="3" t="s">
        <v>15</v>
      </c>
      <c r="B4" s="4" t="s">
        <v>16</v>
      </c>
    </row>
    <row r="5" spans="1:2" x14ac:dyDescent="0.25">
      <c r="A5" s="3" t="s">
        <v>17</v>
      </c>
      <c r="B5" s="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E03F-B4CB-4636-AB7F-ADD3CFFF2635}">
  <dimension ref="A1:D27"/>
  <sheetViews>
    <sheetView zoomScale="76" workbookViewId="0">
      <selection activeCell="A17" sqref="A17:B17"/>
    </sheetView>
  </sheetViews>
  <sheetFormatPr baseColWidth="10" defaultRowHeight="15" x14ac:dyDescent="0.25"/>
  <cols>
    <col min="1" max="1" width="24.42578125" customWidth="1"/>
    <col min="2" max="2" width="16.140625" customWidth="1"/>
    <col min="3" max="3" width="18" customWidth="1"/>
    <col min="4" max="4" width="27" bestFit="1" customWidth="1"/>
  </cols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s="5" t="s">
        <v>23</v>
      </c>
      <c r="B2" s="5"/>
      <c r="C2" s="5"/>
      <c r="D2" s="5"/>
    </row>
    <row r="3" spans="1:4" x14ac:dyDescent="0.25">
      <c r="A3" s="3" t="s">
        <v>24</v>
      </c>
      <c r="B3" s="4">
        <v>1200000</v>
      </c>
      <c r="C3" s="4">
        <v>1450000</v>
      </c>
      <c r="D3" s="3" t="s">
        <v>25</v>
      </c>
    </row>
    <row r="4" spans="1:4" x14ac:dyDescent="0.25">
      <c r="A4" s="3" t="s">
        <v>26</v>
      </c>
      <c r="B4" s="4">
        <v>30000</v>
      </c>
      <c r="C4" s="4">
        <v>40000</v>
      </c>
      <c r="D4" s="3" t="s">
        <v>27</v>
      </c>
    </row>
    <row r="5" spans="1:4" x14ac:dyDescent="0.25">
      <c r="A5" s="3" t="s">
        <v>78</v>
      </c>
      <c r="B5" s="15">
        <f>SUM(B3:B4)</f>
        <v>1230000</v>
      </c>
      <c r="C5" s="15">
        <f>SUM(C3:C4)</f>
        <v>1490000</v>
      </c>
      <c r="D5" s="3"/>
    </row>
    <row r="6" spans="1:4" x14ac:dyDescent="0.25">
      <c r="A6" s="3"/>
      <c r="B6" s="15"/>
      <c r="C6" s="15"/>
      <c r="D6" s="3"/>
    </row>
    <row r="7" spans="1:4" x14ac:dyDescent="0.25">
      <c r="A7" s="3"/>
      <c r="B7" s="15"/>
      <c r="C7" s="15"/>
      <c r="D7" s="3"/>
    </row>
    <row r="8" spans="1:4" x14ac:dyDescent="0.25">
      <c r="A8" s="5" t="s">
        <v>28</v>
      </c>
      <c r="B8" s="16"/>
      <c r="C8" s="16"/>
      <c r="D8" s="5"/>
    </row>
    <row r="9" spans="1:4" x14ac:dyDescent="0.25">
      <c r="A9" s="3" t="s">
        <v>29</v>
      </c>
      <c r="B9" s="4">
        <v>720000</v>
      </c>
      <c r="C9" s="4">
        <v>870000</v>
      </c>
      <c r="D9" s="3" t="s">
        <v>30</v>
      </c>
    </row>
    <row r="10" spans="1:4" x14ac:dyDescent="0.25">
      <c r="A10" s="3" t="s">
        <v>31</v>
      </c>
      <c r="B10" s="4">
        <v>280000</v>
      </c>
      <c r="C10" s="4">
        <v>310000</v>
      </c>
      <c r="D10" s="3" t="s">
        <v>32</v>
      </c>
    </row>
    <row r="11" spans="1:4" x14ac:dyDescent="0.25">
      <c r="A11" s="3" t="s">
        <v>33</v>
      </c>
      <c r="B11" s="4">
        <v>18000</v>
      </c>
      <c r="C11" s="4">
        <v>22000</v>
      </c>
      <c r="D11" s="3" t="s">
        <v>34</v>
      </c>
    </row>
    <row r="12" spans="1:4" x14ac:dyDescent="0.25">
      <c r="A12" s="3" t="s">
        <v>35</v>
      </c>
      <c r="B12" s="4">
        <v>25000</v>
      </c>
      <c r="C12" s="4">
        <v>30000</v>
      </c>
      <c r="D12" s="3" t="s">
        <v>36</v>
      </c>
    </row>
    <row r="13" spans="1:4" x14ac:dyDescent="0.25">
      <c r="A13" s="14" t="s">
        <v>78</v>
      </c>
      <c r="B13">
        <f>SUM(B9:B12)</f>
        <v>1043000</v>
      </c>
      <c r="C13">
        <f>SUM(C9:C12)</f>
        <v>1232000</v>
      </c>
    </row>
    <row r="14" spans="1:4" x14ac:dyDescent="0.25">
      <c r="A14" s="14" t="s">
        <v>77</v>
      </c>
      <c r="B14">
        <f>B5-B13</f>
        <v>187000</v>
      </c>
      <c r="C14">
        <f>C5-C13</f>
        <v>258000</v>
      </c>
      <c r="D14" t="s">
        <v>79</v>
      </c>
    </row>
    <row r="16" spans="1:4" ht="15.75" thickBot="1" x14ac:dyDescent="0.3"/>
    <row r="17" spans="1:3" ht="15.75" thickBot="1" x14ac:dyDescent="0.3">
      <c r="A17" s="28" t="s">
        <v>76</v>
      </c>
      <c r="B17" s="29"/>
      <c r="C17" t="s">
        <v>80</v>
      </c>
    </row>
    <row r="18" spans="1:3" x14ac:dyDescent="0.25">
      <c r="A18" s="20" t="s">
        <v>24</v>
      </c>
      <c r="B18" s="21">
        <f>(C3-B3)/B3</f>
        <v>0.20833333333333334</v>
      </c>
      <c r="C18" s="17" t="s">
        <v>81</v>
      </c>
    </row>
    <row r="19" spans="1:3" x14ac:dyDescent="0.25">
      <c r="A19" s="18" t="s">
        <v>26</v>
      </c>
      <c r="B19" s="19">
        <f>(C4-B4)/B4</f>
        <v>0.33333333333333331</v>
      </c>
      <c r="C19" s="17" t="s">
        <v>82</v>
      </c>
    </row>
    <row r="20" spans="1:3" x14ac:dyDescent="0.25">
      <c r="A20" s="18" t="s">
        <v>29</v>
      </c>
      <c r="B20" s="19">
        <f>(C9-B9)/B9</f>
        <v>0.20833333333333334</v>
      </c>
      <c r="C20" s="17" t="s">
        <v>83</v>
      </c>
    </row>
    <row r="21" spans="1:3" x14ac:dyDescent="0.25">
      <c r="A21" s="18" t="s">
        <v>31</v>
      </c>
      <c r="B21" s="19">
        <f>(C10-B10)/B10</f>
        <v>0.10714285714285714</v>
      </c>
      <c r="C21" s="17" t="s">
        <v>84</v>
      </c>
    </row>
    <row r="22" spans="1:3" x14ac:dyDescent="0.25">
      <c r="A22" s="18" t="s">
        <v>33</v>
      </c>
      <c r="B22" s="19">
        <f>(C11-B11)/B11</f>
        <v>0.22222222222222221</v>
      </c>
      <c r="C22" s="17" t="s">
        <v>85</v>
      </c>
    </row>
    <row r="23" spans="1:3" x14ac:dyDescent="0.25">
      <c r="A23" s="18" t="s">
        <v>35</v>
      </c>
      <c r="B23" s="19">
        <f>(C12-B12)/B12</f>
        <v>0.2</v>
      </c>
      <c r="C23" s="17" t="s">
        <v>86</v>
      </c>
    </row>
    <row r="24" spans="1:3" x14ac:dyDescent="0.25">
      <c r="A24" s="14"/>
    </row>
    <row r="25" spans="1:3" ht="15.75" thickBot="1" x14ac:dyDescent="0.3"/>
    <row r="26" spans="1:3" x14ac:dyDescent="0.25">
      <c r="A26" s="22" t="s">
        <v>87</v>
      </c>
      <c r="B26" s="23">
        <f>(B14/850000)</f>
        <v>0.22</v>
      </c>
    </row>
    <row r="27" spans="1:3" ht="15.75" thickBot="1" x14ac:dyDescent="0.3">
      <c r="A27" s="24" t="s">
        <v>88</v>
      </c>
      <c r="B27" s="25">
        <f>(187000/450000)</f>
        <v>0.41555555555555557</v>
      </c>
    </row>
  </sheetData>
  <mergeCells count="1">
    <mergeCell ref="A17:B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83E7-BD79-4230-BB73-016053394E93}">
  <dimension ref="A1:D33"/>
  <sheetViews>
    <sheetView zoomScale="75" zoomScaleNormal="90" workbookViewId="0">
      <selection activeCell="A36" sqref="A36"/>
    </sheetView>
  </sheetViews>
  <sheetFormatPr baseColWidth="10" defaultRowHeight="15" x14ac:dyDescent="0.25"/>
  <cols>
    <col min="1" max="1" width="25.140625" customWidth="1"/>
    <col min="2" max="2" width="15.85546875" customWidth="1"/>
    <col min="3" max="3" width="17.42578125" customWidth="1"/>
    <col min="4" max="4" width="30.28515625" bestFit="1" customWidth="1"/>
  </cols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s="5" t="s">
        <v>37</v>
      </c>
      <c r="B2" s="5"/>
      <c r="C2" s="5"/>
      <c r="D2" s="5"/>
    </row>
    <row r="3" spans="1:4" x14ac:dyDescent="0.25">
      <c r="A3" s="3" t="s">
        <v>38</v>
      </c>
      <c r="B3" s="4">
        <v>120000</v>
      </c>
      <c r="C3" s="4">
        <v>150000</v>
      </c>
      <c r="D3" s="3" t="s">
        <v>39</v>
      </c>
    </row>
    <row r="4" spans="1:4" x14ac:dyDescent="0.25">
      <c r="A4" s="3" t="s">
        <v>40</v>
      </c>
      <c r="B4" s="4">
        <v>180000</v>
      </c>
      <c r="C4" s="4">
        <v>210000</v>
      </c>
      <c r="D4" s="3" t="s">
        <v>41</v>
      </c>
    </row>
    <row r="5" spans="1:4" x14ac:dyDescent="0.25">
      <c r="A5" s="3" t="s">
        <v>42</v>
      </c>
      <c r="B5" s="4">
        <v>200000</v>
      </c>
      <c r="C5" s="4">
        <v>230000</v>
      </c>
      <c r="D5" s="3" t="s">
        <v>43</v>
      </c>
    </row>
    <row r="6" spans="1:4" x14ac:dyDescent="0.25">
      <c r="A6" s="3" t="s">
        <v>44</v>
      </c>
      <c r="B6" s="4">
        <v>350000</v>
      </c>
      <c r="C6" s="4">
        <v>370000</v>
      </c>
      <c r="D6" s="3" t="s">
        <v>45</v>
      </c>
    </row>
    <row r="7" spans="1:4" x14ac:dyDescent="0.25">
      <c r="A7" s="3" t="s">
        <v>64</v>
      </c>
      <c r="B7" s="3">
        <f>SUM(B3:B6)</f>
        <v>850000</v>
      </c>
      <c r="C7" s="3">
        <f>SUM(C3:C6)</f>
        <v>960000</v>
      </c>
      <c r="D7" s="3" t="s">
        <v>65</v>
      </c>
    </row>
    <row r="8" spans="1:4" x14ac:dyDescent="0.25">
      <c r="A8" s="3"/>
      <c r="B8" s="3"/>
      <c r="C8" s="3"/>
      <c r="D8" s="3"/>
    </row>
    <row r="9" spans="1:4" x14ac:dyDescent="0.25">
      <c r="A9" s="5" t="s">
        <v>46</v>
      </c>
      <c r="B9" s="5"/>
      <c r="C9" s="5"/>
      <c r="D9" s="5"/>
    </row>
    <row r="10" spans="1:4" x14ac:dyDescent="0.25">
      <c r="A10" s="3" t="s">
        <v>47</v>
      </c>
      <c r="B10" s="4">
        <v>220000</v>
      </c>
      <c r="C10" s="4">
        <v>240000</v>
      </c>
      <c r="D10" s="3" t="s">
        <v>48</v>
      </c>
    </row>
    <row r="11" spans="1:4" x14ac:dyDescent="0.25">
      <c r="A11" s="3" t="s">
        <v>49</v>
      </c>
      <c r="B11" s="4">
        <v>180000</v>
      </c>
      <c r="C11" s="4">
        <v>170000</v>
      </c>
      <c r="D11" s="3" t="s">
        <v>50</v>
      </c>
    </row>
    <row r="12" spans="1:4" x14ac:dyDescent="0.25">
      <c r="A12" s="3" t="s">
        <v>66</v>
      </c>
      <c r="B12" s="3">
        <f>SUM(B10:B11)</f>
        <v>400000</v>
      </c>
      <c r="C12" s="3">
        <f>SUM(C10:C11)</f>
        <v>410000</v>
      </c>
      <c r="D12" s="3"/>
    </row>
    <row r="13" spans="1:4" x14ac:dyDescent="0.25">
      <c r="A13" s="3"/>
      <c r="B13" s="3"/>
      <c r="C13" s="3"/>
      <c r="D13" s="3"/>
    </row>
    <row r="14" spans="1:4" x14ac:dyDescent="0.25">
      <c r="A14" s="5" t="s">
        <v>51</v>
      </c>
      <c r="B14" s="5"/>
      <c r="C14" s="5"/>
      <c r="D14" s="5"/>
    </row>
    <row r="15" spans="1:4" x14ac:dyDescent="0.25">
      <c r="A15" s="3" t="s">
        <v>52</v>
      </c>
      <c r="B15" s="4">
        <v>300000</v>
      </c>
      <c r="C15" s="4">
        <v>300000</v>
      </c>
      <c r="D15" s="3" t="s">
        <v>53</v>
      </c>
    </row>
    <row r="16" spans="1:4" x14ac:dyDescent="0.25">
      <c r="A16" s="3" t="s">
        <v>54</v>
      </c>
      <c r="B16" s="4">
        <v>150000</v>
      </c>
      <c r="C16" s="4">
        <v>250000</v>
      </c>
      <c r="D16" s="3" t="s">
        <v>55</v>
      </c>
    </row>
    <row r="17" spans="1:4" x14ac:dyDescent="0.25">
      <c r="A17" s="8" t="s">
        <v>67</v>
      </c>
      <c r="B17">
        <f>SUM(B15:B16)</f>
        <v>450000</v>
      </c>
      <c r="C17">
        <f>SUM(C15:C16)</f>
        <v>550000</v>
      </c>
    </row>
    <row r="19" spans="1:4" x14ac:dyDescent="0.25">
      <c r="A19" t="s">
        <v>68</v>
      </c>
      <c r="B19">
        <f>B17+B12</f>
        <v>850000</v>
      </c>
      <c r="C19">
        <f>C17+C12</f>
        <v>960000</v>
      </c>
      <c r="D19" t="s">
        <v>69</v>
      </c>
    </row>
    <row r="20" spans="1:4" ht="15.75" thickBot="1" x14ac:dyDescent="0.3"/>
    <row r="21" spans="1:4" ht="15.75" thickBot="1" x14ac:dyDescent="0.3">
      <c r="A21" s="30" t="s">
        <v>70</v>
      </c>
      <c r="B21" s="31"/>
      <c r="C21" s="32"/>
    </row>
    <row r="22" spans="1:4" x14ac:dyDescent="0.25">
      <c r="A22" t="s">
        <v>71</v>
      </c>
      <c r="B22" t="s">
        <v>72</v>
      </c>
      <c r="C22" t="s">
        <v>75</v>
      </c>
    </row>
    <row r="23" spans="1:4" x14ac:dyDescent="0.25">
      <c r="A23" s="3" t="s">
        <v>38</v>
      </c>
      <c r="B23">
        <f>(B3/B7)*100</f>
        <v>14.117647058823529</v>
      </c>
    </row>
    <row r="24" spans="1:4" x14ac:dyDescent="0.25">
      <c r="A24" s="3" t="s">
        <v>40</v>
      </c>
      <c r="B24">
        <f>(B4/B7)*100</f>
        <v>21.176470588235293</v>
      </c>
    </row>
    <row r="25" spans="1:4" x14ac:dyDescent="0.25">
      <c r="A25" s="3" t="s">
        <v>42</v>
      </c>
      <c r="B25">
        <f>(B5/B7)*100</f>
        <v>23.52941176470588</v>
      </c>
    </row>
    <row r="26" spans="1:4" x14ac:dyDescent="0.25">
      <c r="A26" s="12" t="s">
        <v>44</v>
      </c>
      <c r="B26" s="10">
        <f>(B6/B7)*100</f>
        <v>41.17647058823529</v>
      </c>
      <c r="C26" s="11">
        <f>SUM(B23:B26)</f>
        <v>100</v>
      </c>
    </row>
    <row r="27" spans="1:4" x14ac:dyDescent="0.25">
      <c r="A27" s="9" t="s">
        <v>73</v>
      </c>
      <c r="B27">
        <f>(B12/B19)*100</f>
        <v>47.058823529411761</v>
      </c>
    </row>
    <row r="28" spans="1:4" x14ac:dyDescent="0.25">
      <c r="A28" s="13" t="s">
        <v>74</v>
      </c>
      <c r="B28" s="11">
        <f>(B17/B19)*100</f>
        <v>52.941176470588239</v>
      </c>
      <c r="C28" s="11">
        <f>SUM(B27:B28)</f>
        <v>100</v>
      </c>
    </row>
    <row r="31" spans="1:4" ht="15.75" thickBot="1" x14ac:dyDescent="0.3"/>
    <row r="32" spans="1:4" ht="15.75" thickBot="1" x14ac:dyDescent="0.3">
      <c r="A32" s="26" t="s">
        <v>90</v>
      </c>
      <c r="B32" s="27">
        <f>B7/B12</f>
        <v>2.125</v>
      </c>
    </row>
    <row r="33" spans="1:1" x14ac:dyDescent="0.25">
      <c r="A33" t="s">
        <v>91</v>
      </c>
    </row>
  </sheetData>
  <mergeCells count="1">
    <mergeCell ref="A21:C2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A205-D345-4132-9042-8C82C7028E1A}">
  <dimension ref="A1:C9"/>
  <sheetViews>
    <sheetView tabSelected="1" workbookViewId="0">
      <selection activeCell="A16" sqref="A16"/>
    </sheetView>
  </sheetViews>
  <sheetFormatPr baseColWidth="10" defaultRowHeight="15" x14ac:dyDescent="0.25"/>
  <cols>
    <col min="1" max="1" width="28.140625" bestFit="1" customWidth="1"/>
    <col min="3" max="3" width="26" bestFit="1" customWidth="1"/>
  </cols>
  <sheetData>
    <row r="1" spans="1:3" x14ac:dyDescent="0.25">
      <c r="A1" s="1" t="s">
        <v>19</v>
      </c>
      <c r="B1" s="1" t="s">
        <v>10</v>
      </c>
      <c r="C1" s="1" t="s">
        <v>22</v>
      </c>
    </row>
    <row r="2" spans="1:3" x14ac:dyDescent="0.25">
      <c r="A2" s="3" t="s">
        <v>56</v>
      </c>
      <c r="B2" s="4">
        <v>120</v>
      </c>
      <c r="C2" s="3" t="s">
        <v>57</v>
      </c>
    </row>
    <row r="3" spans="1:3" x14ac:dyDescent="0.25">
      <c r="A3" s="3" t="s">
        <v>58</v>
      </c>
      <c r="B3" s="4">
        <v>75</v>
      </c>
      <c r="C3" s="3" t="s">
        <v>59</v>
      </c>
    </row>
    <row r="4" spans="1:3" x14ac:dyDescent="0.25">
      <c r="A4" s="3" t="s">
        <v>60</v>
      </c>
      <c r="B4" s="4">
        <v>85000</v>
      </c>
      <c r="C4" s="3" t="s">
        <v>61</v>
      </c>
    </row>
    <row r="5" spans="1:3" x14ac:dyDescent="0.25">
      <c r="A5" s="3" t="s">
        <v>62</v>
      </c>
      <c r="B5" s="4">
        <v>1000</v>
      </c>
      <c r="C5" s="3" t="s">
        <v>63</v>
      </c>
    </row>
    <row r="8" spans="1:3" ht="15.75" thickBot="1" x14ac:dyDescent="0.3"/>
    <row r="9" spans="1:3" ht="15.75" thickBot="1" x14ac:dyDescent="0.3">
      <c r="A9" s="26" t="s">
        <v>89</v>
      </c>
      <c r="B9" s="27">
        <f>B4/(B2-B3)</f>
        <v>1888.8888888888889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Datos_empresa</vt:lpstr>
      <vt:lpstr>estado_resultados</vt:lpstr>
      <vt:lpstr>balance_general</vt:lpstr>
      <vt:lpstr>datos_equilibrio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Angela Canel</cp:lastModifiedBy>
  <dcterms:created xsi:type="dcterms:W3CDTF">2025-10-04T18:28:20Z</dcterms:created>
  <dcterms:modified xsi:type="dcterms:W3CDTF">2025-10-07T17:52:56Z</dcterms:modified>
</cp:coreProperties>
</file>