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D:\Samsung\Proyecto\Proyecto_python\"/>
    </mc:Choice>
  </mc:AlternateContent>
  <xr:revisionPtr revIDLastSave="0" documentId="13_ncr:1_{4A0E177E-346A-4974-A716-9A1C91592C8C}" xr6:coauthVersionLast="47" xr6:coauthVersionMax="47" xr10:uidLastSave="{00000000-0000-0000-0000-000000000000}"/>
  <bookViews>
    <workbookView xWindow="-105" yWindow="0" windowWidth="10455" windowHeight="10905" xr2:uid="{00000000-000D-0000-FFFF-FFFF00000000}"/>
  </bookViews>
  <sheets>
    <sheet name="Instrucciones" sheetId="1" r:id="rId1"/>
    <sheet name="Datos_empresa" sheetId="2" r:id="rId2"/>
    <sheet name="estado_resultados" sheetId="3" r:id="rId3"/>
    <sheet name="balance_general" sheetId="4" r:id="rId4"/>
    <sheet name="datos_equilibrio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3" l="1"/>
  <c r="C13" i="3"/>
  <c r="B13" i="3"/>
  <c r="C5" i="3"/>
  <c r="B5" i="3"/>
  <c r="C17" i="4"/>
  <c r="B17" i="4"/>
  <c r="C12" i="4"/>
  <c r="B12" i="4"/>
  <c r="B19" i="4" s="1"/>
  <c r="C7" i="4"/>
  <c r="B7" i="4"/>
  <c r="C19" i="4" l="1"/>
  <c r="B14" i="3"/>
</calcChain>
</file>

<file path=xl/sharedStrings.xml><?xml version="1.0" encoding="utf-8"?>
<sst xmlns="http://schemas.openxmlformats.org/spreadsheetml/2006/main" count="81" uniqueCount="73">
  <si>
    <t>INSTRUCCIONES PARA LLENAR LA PLANTILLA</t>
  </si>
  <si>
    <t>1. Solo llene las celdas en COLOR AMARILLO</t>
  </si>
  <si>
    <t>2. No modifique los nombres de las hojas</t>
  </si>
  <si>
    <t>3. Use números sin símbolos (ej: 1000, no Q1,000)</t>
  </si>
  <si>
    <t>4. Complete ambos años para comparación</t>
  </si>
  <si>
    <t>DATOS NECESARIOS:</t>
  </si>
  <si>
    <t>• Estados de resultados de 2 años consecutivos</t>
  </si>
  <si>
    <t>• Balance general de los mismos 2 años</t>
  </si>
  <si>
    <t>• Información de costos para punto de equilibrio</t>
  </si>
  <si>
    <t>DATO EMPRESA</t>
  </si>
  <si>
    <t>VALOR</t>
  </si>
  <si>
    <t>Nombre de la empresa</t>
  </si>
  <si>
    <t>Tipo de negocio</t>
  </si>
  <si>
    <t>Moneda</t>
  </si>
  <si>
    <t>Quetzales</t>
  </si>
  <si>
    <t>Fecha de corte</t>
  </si>
  <si>
    <t>31/12/2024</t>
  </si>
  <si>
    <t>CONCEPTO</t>
  </si>
  <si>
    <t>AÑO_ANTERIOR</t>
  </si>
  <si>
    <t>AÑO_ACTUAL</t>
  </si>
  <si>
    <t>NOTAS</t>
  </si>
  <si>
    <t>INGRESOS:</t>
  </si>
  <si>
    <t>Ventas totales</t>
  </si>
  <si>
    <t>Ingresos principales</t>
  </si>
  <si>
    <t>Otros ingresos</t>
  </si>
  <si>
    <t>Ingresos adicionales</t>
  </si>
  <si>
    <t>COSTOS Y GASTOS:</t>
  </si>
  <si>
    <t>Costo de ventas</t>
  </si>
  <si>
    <t>Costo de productos vendidos</t>
  </si>
  <si>
    <t>Gastos de operación</t>
  </si>
  <si>
    <t>Sueldos, alquiler, etc.</t>
  </si>
  <si>
    <t>Gastos financieros</t>
  </si>
  <si>
    <t>Intereses de préstamos</t>
  </si>
  <si>
    <t>Impuestos</t>
  </si>
  <si>
    <t>Impuesto sobre la renta</t>
  </si>
  <si>
    <t>ACTIVOS:</t>
  </si>
  <si>
    <t>Efectivo y bancos</t>
  </si>
  <si>
    <t>Dinero disponible</t>
  </si>
  <si>
    <t>Cuentas por cobrar</t>
  </si>
  <si>
    <t>Lo que te deben clientes</t>
  </si>
  <si>
    <t>Inventarios</t>
  </si>
  <si>
    <t>Productos en almacén</t>
  </si>
  <si>
    <t>Activos fijos</t>
  </si>
  <si>
    <t>Equipos, vehículos, etc.</t>
  </si>
  <si>
    <t>PASIVOS:</t>
  </si>
  <si>
    <t>Deudas corto plazo</t>
  </si>
  <si>
    <t>Préstamos &lt; 1 año</t>
  </si>
  <si>
    <t>Deudas largo plazo</t>
  </si>
  <si>
    <t>Préstamos &gt; 1 año</t>
  </si>
  <si>
    <t>PATRIMONIO:</t>
  </si>
  <si>
    <t>Capital</t>
  </si>
  <si>
    <t>Aportes de los socios</t>
  </si>
  <si>
    <t>Utilidades acumuladas</t>
  </si>
  <si>
    <t>Ganancias de años anteriores</t>
  </si>
  <si>
    <t>Precio de venta unitario</t>
  </si>
  <si>
    <t>Precio promedio por unidad</t>
  </si>
  <si>
    <t>Costo variable unitario</t>
  </si>
  <si>
    <t>Costo por unidad vendida</t>
  </si>
  <si>
    <t>Costos fijos mensuales</t>
  </si>
  <si>
    <t>Gastos fijos cada mes</t>
  </si>
  <si>
    <t>Unidades vendidas mensuales</t>
  </si>
  <si>
    <t>Ventas promedio por mes</t>
  </si>
  <si>
    <t xml:space="preserve">Total de Activos </t>
  </si>
  <si>
    <t>Suma de todos los activos</t>
  </si>
  <si>
    <t>Total Pasivos</t>
  </si>
  <si>
    <t xml:space="preserve">Total patrimonio </t>
  </si>
  <si>
    <t>Total pasivo + patrimonio</t>
  </si>
  <si>
    <t xml:space="preserve">Debe ser igual al total de activos </t>
  </si>
  <si>
    <t>Utilidad neta</t>
  </si>
  <si>
    <t>Total</t>
  </si>
  <si>
    <t xml:space="preserve">Total de ingresos - total costos y gastos </t>
  </si>
  <si>
    <t>NovaTech Solutions</t>
  </si>
  <si>
    <t>Servicios tecnológicos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</si>
</sst>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/>
    <xf numFmtId="0" fontId="0" fillId="3" borderId="1" xfId="0" applyFill="1" applyBorder="1"/>
    <xf numFmtId="0" fontId="1" fillId="0" borderId="1" xfId="0" applyFont="1" applyBorder="1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0" fillId="0" borderId="2" xfId="0" applyBorder="1"/>
    <xf numFmtId="0" fontId="2" fillId="0" borderId="0" xfId="0" applyFont="1" applyFill="1" applyBorder="1" applyAlignment="1">
      <alignment horizontal="center"/>
    </xf>
    <xf numFmtId="0" fontId="0" fillId="0" borderId="0" xfId="0" applyFill="1" applyBorder="1"/>
    <xf numFmtId="9" fontId="0" fillId="0" borderId="0" xfId="1" applyFont="1" applyFill="1" applyBorder="1"/>
    <xf numFmtId="0" fontId="0" fillId="0" borderId="0" xfId="0" applyFill="1" applyBorder="1" applyAlignment="1"/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workbookViewId="0">
      <pane ySplit="1" topLeftCell="A2" activePane="bottomLeft" state="frozen"/>
      <selection pane="bottomLeft" activeCell="A18" sqref="A18"/>
    </sheetView>
  </sheetViews>
  <sheetFormatPr baseColWidth="10" defaultColWidth="9.140625" defaultRowHeight="15" x14ac:dyDescent="0.25"/>
  <cols>
    <col min="1" max="1" width="45" customWidth="1"/>
    <col min="2" max="2" width="15.85546875" bestFit="1" customWidth="1"/>
    <col min="3" max="3" width="26" bestFit="1" customWidth="1"/>
    <col min="4" max="4" width="27" bestFit="1" customWidth="1"/>
  </cols>
  <sheetData>
    <row r="1" spans="1:2" x14ac:dyDescent="0.25">
      <c r="A1" s="1" t="s">
        <v>0</v>
      </c>
    </row>
    <row r="2" spans="1:2" x14ac:dyDescent="0.25">
      <c r="A2" s="2" t="s">
        <v>1</v>
      </c>
    </row>
    <row r="3" spans="1:2" x14ac:dyDescent="0.25">
      <c r="A3" s="2" t="s">
        <v>2</v>
      </c>
    </row>
    <row r="4" spans="1:2" x14ac:dyDescent="0.25">
      <c r="A4" s="2" t="s">
        <v>3</v>
      </c>
    </row>
    <row r="5" spans="1:2" x14ac:dyDescent="0.25">
      <c r="A5" s="2" t="s">
        <v>4</v>
      </c>
    </row>
    <row r="6" spans="1:2" x14ac:dyDescent="0.25">
      <c r="A6" s="2"/>
    </row>
    <row r="7" spans="1:2" x14ac:dyDescent="0.25">
      <c r="A7" s="2" t="s">
        <v>5</v>
      </c>
    </row>
    <row r="8" spans="1:2" x14ac:dyDescent="0.25">
      <c r="A8" s="2" t="s">
        <v>6</v>
      </c>
    </row>
    <row r="9" spans="1:2" x14ac:dyDescent="0.25">
      <c r="A9" s="2" t="s">
        <v>7</v>
      </c>
    </row>
    <row r="10" spans="1:2" x14ac:dyDescent="0.25">
      <c r="A10" s="2" t="s">
        <v>8</v>
      </c>
    </row>
    <row r="13" spans="1:2" x14ac:dyDescent="0.25">
      <c r="A13" s="6"/>
      <c r="B13" s="6"/>
    </row>
    <row r="20" spans="1:4" x14ac:dyDescent="0.25">
      <c r="A20" s="7"/>
      <c r="B20" s="7"/>
      <c r="C20" s="7"/>
      <c r="D20" s="7"/>
    </row>
    <row r="34" spans="1:4" x14ac:dyDescent="0.25">
      <c r="A34" s="7"/>
      <c r="B34" s="7"/>
      <c r="C34" s="7"/>
      <c r="D34" s="7"/>
    </row>
    <row r="52" spans="1:4" x14ac:dyDescent="0.25">
      <c r="A52" s="7"/>
      <c r="B52" s="7"/>
      <c r="C52" s="7"/>
      <c r="D52" s="7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25375-28B8-4B21-A1FE-295D8E8D628D}">
  <dimension ref="A1:B5"/>
  <sheetViews>
    <sheetView workbookViewId="0">
      <selection activeCell="B4" sqref="B4"/>
    </sheetView>
  </sheetViews>
  <sheetFormatPr baseColWidth="10" defaultRowHeight="15" x14ac:dyDescent="0.25"/>
  <cols>
    <col min="1" max="1" width="21.42578125" bestFit="1" customWidth="1"/>
    <col min="2" max="2" width="20.5703125" bestFit="1" customWidth="1"/>
  </cols>
  <sheetData>
    <row r="1" spans="1:2" x14ac:dyDescent="0.25">
      <c r="A1" s="1" t="s">
        <v>9</v>
      </c>
      <c r="B1" s="1" t="s">
        <v>10</v>
      </c>
    </row>
    <row r="2" spans="1:2" x14ac:dyDescent="0.25">
      <c r="A2" s="3" t="s">
        <v>11</v>
      </c>
      <c r="B2" s="4" t="s">
        <v>71</v>
      </c>
    </row>
    <row r="3" spans="1:2" x14ac:dyDescent="0.25">
      <c r="A3" s="3" t="s">
        <v>12</v>
      </c>
      <c r="B3" s="4" t="s">
        <v>72</v>
      </c>
    </row>
    <row r="4" spans="1:2" x14ac:dyDescent="0.25">
      <c r="A4" s="3" t="s">
        <v>13</v>
      </c>
      <c r="B4" s="4" t="s">
        <v>14</v>
      </c>
    </row>
    <row r="5" spans="1:2" x14ac:dyDescent="0.25">
      <c r="A5" s="3" t="s">
        <v>15</v>
      </c>
      <c r="B5" s="4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5E03F-B4CB-4636-AB7F-ADD3CFFF2635}">
  <dimension ref="A1:D30"/>
  <sheetViews>
    <sheetView zoomScale="76" workbookViewId="0">
      <selection activeCell="D24" sqref="D24"/>
    </sheetView>
  </sheetViews>
  <sheetFormatPr baseColWidth="10" defaultRowHeight="15" x14ac:dyDescent="0.25"/>
  <cols>
    <col min="1" max="1" width="24.42578125" customWidth="1"/>
    <col min="2" max="2" width="16.140625" customWidth="1"/>
    <col min="3" max="3" width="18" customWidth="1"/>
    <col min="4" max="4" width="27" bestFit="1" customWidth="1"/>
  </cols>
  <sheetData>
    <row r="1" spans="1:4" x14ac:dyDescent="0.25">
      <c r="A1" s="1" t="s">
        <v>17</v>
      </c>
      <c r="B1" s="1" t="s">
        <v>18</v>
      </c>
      <c r="C1" s="1" t="s">
        <v>19</v>
      </c>
      <c r="D1" s="1" t="s">
        <v>20</v>
      </c>
    </row>
    <row r="2" spans="1:4" x14ac:dyDescent="0.25">
      <c r="A2" s="5" t="s">
        <v>21</v>
      </c>
      <c r="B2" s="5"/>
      <c r="C2" s="5"/>
      <c r="D2" s="5"/>
    </row>
    <row r="3" spans="1:4" x14ac:dyDescent="0.25">
      <c r="A3" s="3" t="s">
        <v>22</v>
      </c>
      <c r="B3" s="4">
        <v>850000</v>
      </c>
      <c r="C3" s="4">
        <v>1020000</v>
      </c>
      <c r="D3" s="3" t="s">
        <v>23</v>
      </c>
    </row>
    <row r="4" spans="1:4" x14ac:dyDescent="0.25">
      <c r="A4" s="3" t="s">
        <v>24</v>
      </c>
      <c r="B4" s="4">
        <v>20000</v>
      </c>
      <c r="C4" s="4">
        <v>25000</v>
      </c>
      <c r="D4" s="3" t="s">
        <v>25</v>
      </c>
    </row>
    <row r="5" spans="1:4" x14ac:dyDescent="0.25">
      <c r="A5" s="3" t="s">
        <v>69</v>
      </c>
      <c r="B5" s="3">
        <f>SUM(B3:B4)</f>
        <v>870000</v>
      </c>
      <c r="C5" s="3">
        <f>SUM(C3:C4)</f>
        <v>1045000</v>
      </c>
      <c r="D5" s="3"/>
    </row>
    <row r="6" spans="1:4" x14ac:dyDescent="0.25">
      <c r="A6" s="3"/>
      <c r="B6" s="3"/>
      <c r="C6" s="3"/>
      <c r="D6" s="3"/>
    </row>
    <row r="7" spans="1:4" x14ac:dyDescent="0.25">
      <c r="A7" s="3"/>
      <c r="B7" s="3"/>
      <c r="C7" s="3"/>
      <c r="D7" s="3"/>
    </row>
    <row r="8" spans="1:4" x14ac:dyDescent="0.25">
      <c r="A8" s="5" t="s">
        <v>26</v>
      </c>
      <c r="B8" s="5"/>
      <c r="C8" s="5"/>
      <c r="D8" s="5"/>
    </row>
    <row r="9" spans="1:4" x14ac:dyDescent="0.25">
      <c r="A9" s="3" t="s">
        <v>27</v>
      </c>
      <c r="B9" s="4">
        <v>490000</v>
      </c>
      <c r="C9" s="4">
        <v>590000</v>
      </c>
      <c r="D9" s="3" t="s">
        <v>28</v>
      </c>
    </row>
    <row r="10" spans="1:4" x14ac:dyDescent="0.25">
      <c r="A10" s="3" t="s">
        <v>29</v>
      </c>
      <c r="B10" s="4">
        <v>190000</v>
      </c>
      <c r="C10" s="4">
        <v>220000</v>
      </c>
      <c r="D10" s="3" t="s">
        <v>30</v>
      </c>
    </row>
    <row r="11" spans="1:4" x14ac:dyDescent="0.25">
      <c r="A11" s="3" t="s">
        <v>31</v>
      </c>
      <c r="B11" s="4">
        <v>12000</v>
      </c>
      <c r="C11" s="4">
        <v>14000</v>
      </c>
      <c r="D11" s="3" t="s">
        <v>32</v>
      </c>
    </row>
    <row r="12" spans="1:4" x14ac:dyDescent="0.25">
      <c r="A12" s="3" t="s">
        <v>33</v>
      </c>
      <c r="B12" s="4">
        <v>16000</v>
      </c>
      <c r="C12" s="4">
        <v>20000</v>
      </c>
      <c r="D12" s="3" t="s">
        <v>34</v>
      </c>
    </row>
    <row r="13" spans="1:4" x14ac:dyDescent="0.25">
      <c r="A13" s="8" t="s">
        <v>69</v>
      </c>
      <c r="B13">
        <f>SUM(B9:B12)</f>
        <v>708000</v>
      </c>
      <c r="C13">
        <f>SUM(C9:C12)</f>
        <v>844000</v>
      </c>
    </row>
    <row r="14" spans="1:4" x14ac:dyDescent="0.25">
      <c r="A14" s="8" t="s">
        <v>68</v>
      </c>
      <c r="B14">
        <f>B5-B13</f>
        <v>162000</v>
      </c>
      <c r="C14">
        <f>C5-C13</f>
        <v>201000</v>
      </c>
      <c r="D14" t="s">
        <v>70</v>
      </c>
    </row>
    <row r="17" spans="1:4" x14ac:dyDescent="0.25">
      <c r="A17" s="9"/>
      <c r="B17" s="9"/>
      <c r="C17" s="10"/>
      <c r="D17" s="10"/>
    </row>
    <row r="18" spans="1:4" x14ac:dyDescent="0.25">
      <c r="A18" s="10"/>
      <c r="B18" s="11"/>
      <c r="C18" s="10"/>
      <c r="D18" s="10"/>
    </row>
    <row r="19" spans="1:4" x14ac:dyDescent="0.25">
      <c r="A19" s="10"/>
      <c r="B19" s="11"/>
      <c r="C19" s="10"/>
      <c r="D19" s="10"/>
    </row>
    <row r="20" spans="1:4" x14ac:dyDescent="0.25">
      <c r="A20" s="10"/>
      <c r="B20" s="11"/>
      <c r="C20" s="10"/>
      <c r="D20" s="10"/>
    </row>
    <row r="21" spans="1:4" x14ac:dyDescent="0.25">
      <c r="A21" s="10"/>
      <c r="B21" s="11"/>
      <c r="C21" s="10"/>
      <c r="D21" s="10"/>
    </row>
    <row r="22" spans="1:4" x14ac:dyDescent="0.25">
      <c r="A22" s="10"/>
      <c r="B22" s="11"/>
      <c r="C22" s="10"/>
      <c r="D22" s="10"/>
    </row>
    <row r="23" spans="1:4" x14ac:dyDescent="0.25">
      <c r="A23" s="10"/>
      <c r="B23" s="11"/>
      <c r="C23" s="10"/>
      <c r="D23" s="10"/>
    </row>
    <row r="24" spans="1:4" x14ac:dyDescent="0.25">
      <c r="A24" s="10"/>
      <c r="B24" s="10"/>
      <c r="C24" s="10"/>
      <c r="D24" s="10"/>
    </row>
    <row r="25" spans="1:4" x14ac:dyDescent="0.25">
      <c r="A25" s="10"/>
      <c r="B25" s="10"/>
      <c r="C25" s="10"/>
      <c r="D25" s="10"/>
    </row>
    <row r="26" spans="1:4" x14ac:dyDescent="0.25">
      <c r="A26" s="10"/>
      <c r="B26" s="11"/>
      <c r="C26" s="10"/>
      <c r="D26" s="10"/>
    </row>
    <row r="27" spans="1:4" x14ac:dyDescent="0.25">
      <c r="A27" s="10"/>
      <c r="B27" s="11"/>
      <c r="C27" s="10"/>
      <c r="D27" s="10"/>
    </row>
    <row r="28" spans="1:4" x14ac:dyDescent="0.25">
      <c r="A28" s="10"/>
      <c r="B28" s="10"/>
      <c r="C28" s="10"/>
      <c r="D28" s="10"/>
    </row>
    <row r="29" spans="1:4" x14ac:dyDescent="0.25">
      <c r="A29" s="10"/>
      <c r="B29" s="10"/>
      <c r="C29" s="10"/>
      <c r="D29" s="10"/>
    </row>
    <row r="30" spans="1:4" x14ac:dyDescent="0.25">
      <c r="A30" s="10"/>
      <c r="B30" s="10"/>
      <c r="C30" s="10"/>
      <c r="D30" s="10"/>
    </row>
  </sheetData>
  <mergeCells count="1">
    <mergeCell ref="A17:B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283E7-BD79-4230-BB73-016053394E93}">
  <dimension ref="A1:D33"/>
  <sheetViews>
    <sheetView zoomScale="75" zoomScaleNormal="90" workbookViewId="0">
      <selection activeCell="C25" sqref="C25"/>
    </sheetView>
  </sheetViews>
  <sheetFormatPr baseColWidth="10" defaultRowHeight="15" x14ac:dyDescent="0.25"/>
  <cols>
    <col min="1" max="1" width="25.140625" customWidth="1"/>
    <col min="2" max="2" width="15.85546875" customWidth="1"/>
    <col min="3" max="3" width="17.42578125" customWidth="1"/>
    <col min="4" max="4" width="30.28515625" bestFit="1" customWidth="1"/>
  </cols>
  <sheetData>
    <row r="1" spans="1:4" x14ac:dyDescent="0.25">
      <c r="A1" s="1" t="s">
        <v>17</v>
      </c>
      <c r="B1" s="1" t="s">
        <v>18</v>
      </c>
      <c r="C1" s="1" t="s">
        <v>19</v>
      </c>
      <c r="D1" s="1" t="s">
        <v>20</v>
      </c>
    </row>
    <row r="2" spans="1:4" x14ac:dyDescent="0.25">
      <c r="A2" s="5" t="s">
        <v>35</v>
      </c>
      <c r="B2" s="5"/>
      <c r="C2" s="5"/>
      <c r="D2" s="5"/>
    </row>
    <row r="3" spans="1:4" x14ac:dyDescent="0.25">
      <c r="A3" s="3" t="s">
        <v>36</v>
      </c>
      <c r="B3" s="4">
        <v>100000</v>
      </c>
      <c r="C3" s="4">
        <v>125000</v>
      </c>
      <c r="D3" s="3" t="s">
        <v>37</v>
      </c>
    </row>
    <row r="4" spans="1:4" x14ac:dyDescent="0.25">
      <c r="A4" s="3" t="s">
        <v>38</v>
      </c>
      <c r="B4" s="4">
        <v>160000</v>
      </c>
      <c r="C4" s="4">
        <v>190000</v>
      </c>
      <c r="D4" s="3" t="s">
        <v>39</v>
      </c>
    </row>
    <row r="5" spans="1:4" x14ac:dyDescent="0.25">
      <c r="A5" s="3" t="s">
        <v>40</v>
      </c>
      <c r="B5" s="4">
        <v>120000</v>
      </c>
      <c r="C5" s="4">
        <v>150000</v>
      </c>
      <c r="D5" s="3" t="s">
        <v>41</v>
      </c>
    </row>
    <row r="6" spans="1:4" x14ac:dyDescent="0.25">
      <c r="A6" s="3" t="s">
        <v>42</v>
      </c>
      <c r="B6" s="4">
        <v>300000</v>
      </c>
      <c r="C6" s="4">
        <v>320000</v>
      </c>
      <c r="D6" s="3" t="s">
        <v>43</v>
      </c>
    </row>
    <row r="7" spans="1:4" x14ac:dyDescent="0.25">
      <c r="A7" s="3" t="s">
        <v>62</v>
      </c>
      <c r="B7" s="3">
        <f>SUM(B3:B6)</f>
        <v>680000</v>
      </c>
      <c r="C7" s="3">
        <f>SUM(C3:C6)</f>
        <v>785000</v>
      </c>
      <c r="D7" s="3" t="s">
        <v>63</v>
      </c>
    </row>
    <row r="8" spans="1:4" x14ac:dyDescent="0.25">
      <c r="A8" s="3"/>
      <c r="B8" s="3"/>
      <c r="C8" s="3"/>
      <c r="D8" s="3"/>
    </row>
    <row r="9" spans="1:4" x14ac:dyDescent="0.25">
      <c r="A9" s="5" t="s">
        <v>44</v>
      </c>
      <c r="B9" s="5"/>
      <c r="C9" s="5"/>
      <c r="D9" s="5"/>
    </row>
    <row r="10" spans="1:4" x14ac:dyDescent="0.25">
      <c r="A10" s="3" t="s">
        <v>45</v>
      </c>
      <c r="B10" s="4">
        <v>200000</v>
      </c>
      <c r="C10" s="4">
        <v>210000</v>
      </c>
      <c r="D10" s="3" t="s">
        <v>46</v>
      </c>
    </row>
    <row r="11" spans="1:4" x14ac:dyDescent="0.25">
      <c r="A11" s="3" t="s">
        <v>47</v>
      </c>
      <c r="B11" s="4">
        <v>100000</v>
      </c>
      <c r="C11" s="4">
        <v>95000</v>
      </c>
      <c r="D11" s="3" t="s">
        <v>48</v>
      </c>
    </row>
    <row r="12" spans="1:4" x14ac:dyDescent="0.25">
      <c r="A12" s="3" t="s">
        <v>64</v>
      </c>
      <c r="B12" s="3">
        <f>SUM(B10:B11)</f>
        <v>300000</v>
      </c>
      <c r="C12" s="3">
        <f>SUM(C10:C11)</f>
        <v>305000</v>
      </c>
      <c r="D12" s="3"/>
    </row>
    <row r="13" spans="1:4" x14ac:dyDescent="0.25">
      <c r="A13" s="3"/>
      <c r="B13" s="3"/>
      <c r="C13" s="3"/>
      <c r="D13" s="3"/>
    </row>
    <row r="14" spans="1:4" x14ac:dyDescent="0.25">
      <c r="A14" s="5" t="s">
        <v>49</v>
      </c>
      <c r="B14" s="5"/>
      <c r="C14" s="5"/>
      <c r="D14" s="5"/>
    </row>
    <row r="15" spans="1:4" x14ac:dyDescent="0.25">
      <c r="A15" s="3" t="s">
        <v>50</v>
      </c>
      <c r="B15" s="4">
        <v>250000</v>
      </c>
      <c r="C15" s="4">
        <v>280000</v>
      </c>
      <c r="D15" s="3" t="s">
        <v>51</v>
      </c>
    </row>
    <row r="16" spans="1:4" x14ac:dyDescent="0.25">
      <c r="A16" s="3" t="s">
        <v>52</v>
      </c>
      <c r="B16" s="4">
        <v>130000</v>
      </c>
      <c r="C16" s="4">
        <v>200000</v>
      </c>
      <c r="D16" s="3" t="s">
        <v>53</v>
      </c>
    </row>
    <row r="17" spans="1:4" x14ac:dyDescent="0.25">
      <c r="A17" s="8" t="s">
        <v>65</v>
      </c>
      <c r="B17">
        <f>SUM(B15:B16)</f>
        <v>380000</v>
      </c>
      <c r="C17">
        <f>SUM(C15:C16)</f>
        <v>480000</v>
      </c>
    </row>
    <row r="19" spans="1:4" x14ac:dyDescent="0.25">
      <c r="A19" t="s">
        <v>66</v>
      </c>
      <c r="B19">
        <f>B17+B12</f>
        <v>680000</v>
      </c>
      <c r="C19">
        <f>C17+C12</f>
        <v>785000</v>
      </c>
      <c r="D19" t="s">
        <v>67</v>
      </c>
    </row>
    <row r="21" spans="1:4" x14ac:dyDescent="0.25">
      <c r="A21" s="12"/>
      <c r="B21" s="12"/>
      <c r="C21" s="12"/>
    </row>
    <row r="22" spans="1:4" x14ac:dyDescent="0.25">
      <c r="A22" s="10"/>
      <c r="B22" s="10"/>
      <c r="C22" s="10"/>
    </row>
    <row r="23" spans="1:4" x14ac:dyDescent="0.25">
      <c r="A23" s="10"/>
      <c r="B23" s="10"/>
      <c r="C23" s="10"/>
    </row>
    <row r="24" spans="1:4" x14ac:dyDescent="0.25">
      <c r="A24" s="10"/>
      <c r="B24" s="10"/>
      <c r="C24" s="10"/>
    </row>
    <row r="25" spans="1:4" x14ac:dyDescent="0.25">
      <c r="A25" s="10"/>
      <c r="B25" s="10"/>
      <c r="C25" s="10"/>
    </row>
    <row r="26" spans="1:4" x14ac:dyDescent="0.25">
      <c r="A26" s="10"/>
      <c r="B26" s="10"/>
      <c r="C26" s="10"/>
    </row>
    <row r="27" spans="1:4" x14ac:dyDescent="0.25">
      <c r="A27" s="10"/>
      <c r="B27" s="10"/>
      <c r="C27" s="10"/>
    </row>
    <row r="28" spans="1:4" x14ac:dyDescent="0.25">
      <c r="A28" s="10"/>
      <c r="B28" s="10"/>
      <c r="C28" s="10"/>
    </row>
    <row r="29" spans="1:4" x14ac:dyDescent="0.25">
      <c r="A29" s="10"/>
      <c r="B29" s="10"/>
      <c r="C29" s="10"/>
    </row>
    <row r="30" spans="1:4" x14ac:dyDescent="0.25">
      <c r="A30" s="10"/>
      <c r="B30" s="10"/>
      <c r="C30" s="10"/>
    </row>
    <row r="31" spans="1:4" x14ac:dyDescent="0.25">
      <c r="A31" s="10"/>
      <c r="B31" s="10"/>
      <c r="C31" s="10"/>
    </row>
    <row r="32" spans="1:4" x14ac:dyDescent="0.25">
      <c r="A32" s="10"/>
      <c r="B32" s="10"/>
      <c r="C32" s="10"/>
    </row>
    <row r="33" spans="1:3" x14ac:dyDescent="0.25">
      <c r="A33" s="10"/>
      <c r="B33" s="10"/>
      <c r="C33" s="1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4A205-D345-4132-9042-8C82C7028E1A}">
  <dimension ref="A1:C9"/>
  <sheetViews>
    <sheetView workbookViewId="0">
      <selection activeCell="C8" sqref="C8"/>
    </sheetView>
  </sheetViews>
  <sheetFormatPr baseColWidth="10" defaultRowHeight="15" x14ac:dyDescent="0.25"/>
  <cols>
    <col min="1" max="1" width="28.140625" bestFit="1" customWidth="1"/>
    <col min="3" max="3" width="26" bestFit="1" customWidth="1"/>
  </cols>
  <sheetData>
    <row r="1" spans="1:3" x14ac:dyDescent="0.25">
      <c r="A1" s="1" t="s">
        <v>17</v>
      </c>
      <c r="B1" s="1" t="s">
        <v>10</v>
      </c>
      <c r="C1" s="1" t="s">
        <v>20</v>
      </c>
    </row>
    <row r="2" spans="1:3" x14ac:dyDescent="0.25">
      <c r="A2" s="3" t="s">
        <v>54</v>
      </c>
      <c r="B2" s="4">
        <v>180</v>
      </c>
      <c r="C2" s="3" t="s">
        <v>55</v>
      </c>
    </row>
    <row r="3" spans="1:3" x14ac:dyDescent="0.25">
      <c r="A3" s="3" t="s">
        <v>56</v>
      </c>
      <c r="B3" s="4">
        <v>120</v>
      </c>
      <c r="C3" s="3" t="s">
        <v>57</v>
      </c>
    </row>
    <row r="4" spans="1:3" x14ac:dyDescent="0.25">
      <c r="A4" s="3" t="s">
        <v>58</v>
      </c>
      <c r="B4" s="4">
        <v>95000</v>
      </c>
      <c r="C4" s="3" t="s">
        <v>59</v>
      </c>
    </row>
    <row r="5" spans="1:3" x14ac:dyDescent="0.25">
      <c r="A5" s="3" t="s">
        <v>60</v>
      </c>
      <c r="B5" s="4">
        <v>1300</v>
      </c>
      <c r="C5" s="3" t="s">
        <v>61</v>
      </c>
    </row>
    <row r="9" spans="1:3" x14ac:dyDescent="0.25">
      <c r="A9" s="10"/>
      <c r="B9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Instrucciones</vt:lpstr>
      <vt:lpstr>Datos_empresa</vt:lpstr>
      <vt:lpstr>estado_resultados</vt:lpstr>
      <vt:lpstr>balance_general</vt:lpstr>
      <vt:lpstr>datos_equilibrio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Angela Canel</cp:lastModifiedBy>
  <dcterms:created xsi:type="dcterms:W3CDTF">2025-10-04T18:28:20Z</dcterms:created>
  <dcterms:modified xsi:type="dcterms:W3CDTF">2025-10-08T05:59:44Z</dcterms:modified>
</cp:coreProperties>
</file>