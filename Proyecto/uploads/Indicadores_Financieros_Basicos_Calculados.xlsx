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ULI\Documents\Samsung\"/>
    </mc:Choice>
  </mc:AlternateContent>
  <xr:revisionPtr revIDLastSave="0" documentId="13_ncr:1_{7603EE36-BF5A-4081-A798-AC1C5C6D15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struc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C37" i="1"/>
  <c r="B42" i="1"/>
  <c r="C42" i="1"/>
  <c r="B47" i="1"/>
  <c r="B49" i="1" s="1"/>
  <c r="C47" i="1"/>
  <c r="C49" i="1" s="1"/>
</calcChain>
</file>

<file path=xl/sharedStrings.xml><?xml version="1.0" encoding="utf-8"?>
<sst xmlns="http://schemas.openxmlformats.org/spreadsheetml/2006/main" count="80" uniqueCount="73">
  <si>
    <t>INSTRUCCIONES PARA LLENAR LA PLANTILLA</t>
  </si>
  <si>
    <t>1. Solo llene las celdas en COLOR AMARILLO</t>
  </si>
  <si>
    <t>2. No modifique los nombres de las hojas</t>
  </si>
  <si>
    <t>3. Use números sin símbolos (ej: 1000, no Q1,000)</t>
  </si>
  <si>
    <t>4. Complete ambos años para comparación</t>
  </si>
  <si>
    <t>DATOS NECESARIOS:</t>
  </si>
  <si>
    <t>• Estados de resultados de 2 años consecutivos</t>
  </si>
  <si>
    <t>• Balance general de los mismos 2 años</t>
  </si>
  <si>
    <t>• Información de costos para punto de equilibrio</t>
  </si>
  <si>
    <t>DATO EMPRESA</t>
  </si>
  <si>
    <t>VALOR</t>
  </si>
  <si>
    <t>Nombre de la empresa</t>
  </si>
  <si>
    <t>Ejemplo S.A.</t>
  </si>
  <si>
    <t>Tipo de negocio</t>
  </si>
  <si>
    <t>Tienda minorista</t>
  </si>
  <si>
    <t>Moneda</t>
  </si>
  <si>
    <t>Quetzales</t>
  </si>
  <si>
    <t>Fecha de corte</t>
  </si>
  <si>
    <t>31/12/2024</t>
  </si>
  <si>
    <t>CONCEPTO</t>
  </si>
  <si>
    <t>AÑO_ANTERIOR</t>
  </si>
  <si>
    <t>AÑO_ACTUAL</t>
  </si>
  <si>
    <t>NOTAS</t>
  </si>
  <si>
    <t>INGRESOS:</t>
  </si>
  <si>
    <t>Ventas totales</t>
  </si>
  <si>
    <t>Ingresos principales</t>
  </si>
  <si>
    <t>Otros ingresos</t>
  </si>
  <si>
    <t>Ingresos adicionales</t>
  </si>
  <si>
    <t>COSTOS Y GASTOS:</t>
  </si>
  <si>
    <t>Costo de ventas</t>
  </si>
  <si>
    <t>Costo de productos vendidos</t>
  </si>
  <si>
    <t>Gastos de operación</t>
  </si>
  <si>
    <t>Sueldos, alquiler, etc.</t>
  </si>
  <si>
    <t>Gastos financieros</t>
  </si>
  <si>
    <t>Intereses de préstamos</t>
  </si>
  <si>
    <t>Impuestos</t>
  </si>
  <si>
    <t>Impuesto sobre la renta</t>
  </si>
  <si>
    <t>ACTIVOS:</t>
  </si>
  <si>
    <t>Efectivo y bancos</t>
  </si>
  <si>
    <t>Dinero disponible</t>
  </si>
  <si>
    <t>Cuentas por cobrar</t>
  </si>
  <si>
    <t>Lo que te deben clientes</t>
  </si>
  <si>
    <t>Inventarios</t>
  </si>
  <si>
    <t>Productos en almacén</t>
  </si>
  <si>
    <t>Activos fijos</t>
  </si>
  <si>
    <t>Equipos, vehículos, etc.</t>
  </si>
  <si>
    <t>PASIVOS:</t>
  </si>
  <si>
    <t>Deudas corto plazo</t>
  </si>
  <si>
    <t>Préstamos &lt; 1 año</t>
  </si>
  <si>
    <t>Deudas largo plazo</t>
  </si>
  <si>
    <t>Préstamos &gt; 1 año</t>
  </si>
  <si>
    <t>PATRIMONIO:</t>
  </si>
  <si>
    <t>Capital</t>
  </si>
  <si>
    <t>Aportes de los socios</t>
  </si>
  <si>
    <t>Utilidades acumuladas</t>
  </si>
  <si>
    <t>Ganancias de años anteriores</t>
  </si>
  <si>
    <t>Precio de venta unitario</t>
  </si>
  <si>
    <t>Precio promedio por unidad</t>
  </si>
  <si>
    <t>Costo variable unitario</t>
  </si>
  <si>
    <t>Costo por unidad vendida</t>
  </si>
  <si>
    <t>Costos fijos mensuales</t>
  </si>
  <si>
    <t>Gastos fijos cada mes</t>
  </si>
  <si>
    <t>Unidades vendidas mensuales</t>
  </si>
  <si>
    <t>Ventas promedio por mes</t>
  </si>
  <si>
    <t xml:space="preserve">Total de Activos </t>
  </si>
  <si>
    <t>Suma de todos los activos</t>
  </si>
  <si>
    <t>Total Pasivos</t>
  </si>
  <si>
    <t xml:space="preserve">Total patrimonio </t>
  </si>
  <si>
    <t>Total pasivo + patrimonio</t>
  </si>
  <si>
    <t xml:space="preserve">Debe ser igual al total de activos </t>
  </si>
  <si>
    <t>estado_resultados</t>
  </si>
  <si>
    <t>balance_general</t>
  </si>
  <si>
    <t>datos_equilibrio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</si>
</sst>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0" fillId="3" borderId="1" xfId="0" applyFill="1" applyBorder="1"/>
    <xf numFmtId="0" fontId="1" fillId="0" borderId="1" xfId="0" applyFont="1" applyBorder="1"/>
    <xf numFmtId="0" fontId="0" fillId="0" borderId="2" xfId="0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pane ySplit="1" topLeftCell="A17" activePane="bottomLeft" state="frozen"/>
      <selection pane="bottomLeft" activeCell="F67" sqref="F67"/>
    </sheetView>
  </sheetViews>
  <sheetFormatPr baseColWidth="10" defaultColWidth="9.140625" defaultRowHeight="15" x14ac:dyDescent="0.25"/>
  <cols>
    <col min="1" max="1" width="45" customWidth="1"/>
    <col min="2" max="2" width="15.85546875" bestFit="1" customWidth="1"/>
    <col min="3" max="3" width="26" bestFit="1" customWidth="1"/>
    <col min="4" max="4" width="27" bestFit="1" customWidth="1"/>
  </cols>
  <sheetData>
    <row r="1" spans="1:2" x14ac:dyDescent="0.25">
      <c r="A1" s="1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4" spans="1:2" x14ac:dyDescent="0.25">
      <c r="A4" s="2" t="s">
        <v>3</v>
      </c>
    </row>
    <row r="5" spans="1:2" x14ac:dyDescent="0.25">
      <c r="A5" s="2" t="s">
        <v>4</v>
      </c>
    </row>
    <row r="6" spans="1:2" x14ac:dyDescent="0.25">
      <c r="A6" s="2"/>
    </row>
    <row r="7" spans="1:2" x14ac:dyDescent="0.25">
      <c r="A7" s="2" t="s">
        <v>5</v>
      </c>
    </row>
    <row r="8" spans="1:2" x14ac:dyDescent="0.25">
      <c r="A8" s="2" t="s">
        <v>6</v>
      </c>
    </row>
    <row r="9" spans="1:2" x14ac:dyDescent="0.25">
      <c r="A9" s="2" t="s">
        <v>7</v>
      </c>
    </row>
    <row r="10" spans="1:2" x14ac:dyDescent="0.25">
      <c r="A10" s="2" t="s">
        <v>8</v>
      </c>
    </row>
    <row r="12" spans="1:2" x14ac:dyDescent="0.25">
      <c r="A12" s="1" t="s">
        <v>9</v>
      </c>
      <c r="B12" s="1" t="s">
        <v>10</v>
      </c>
    </row>
    <row r="13" spans="1:2" x14ac:dyDescent="0.25">
      <c r="A13" s="3" t="s">
        <v>11</v>
      </c>
      <c r="B13" s="4" t="s">
        <v>12</v>
      </c>
    </row>
    <row r="14" spans="1:2" x14ac:dyDescent="0.25">
      <c r="A14" s="3" t="s">
        <v>13</v>
      </c>
      <c r="B14" s="4" t="s">
        <v>14</v>
      </c>
    </row>
    <row r="15" spans="1:2" x14ac:dyDescent="0.25">
      <c r="A15" s="3" t="s">
        <v>15</v>
      </c>
      <c r="B15" s="4" t="s">
        <v>16</v>
      </c>
    </row>
    <row r="16" spans="1:2" x14ac:dyDescent="0.25">
      <c r="A16" s="3" t="s">
        <v>17</v>
      </c>
      <c r="B16" s="4" t="s">
        <v>18</v>
      </c>
    </row>
    <row r="17" spans="1:4" x14ac:dyDescent="0.25">
      <c r="B17" s="7"/>
    </row>
    <row r="18" spans="1:4" x14ac:dyDescent="0.25">
      <c r="A18" s="8" t="s">
        <v>70</v>
      </c>
      <c r="B18" s="8"/>
      <c r="C18" s="8"/>
      <c r="D18" s="8"/>
    </row>
    <row r="19" spans="1:4" x14ac:dyDescent="0.25">
      <c r="A19" s="1" t="s">
        <v>19</v>
      </c>
      <c r="B19" s="1" t="s">
        <v>20</v>
      </c>
      <c r="C19" s="1" t="s">
        <v>21</v>
      </c>
      <c r="D19" s="1" t="s">
        <v>22</v>
      </c>
    </row>
    <row r="20" spans="1:4" x14ac:dyDescent="0.25">
      <c r="A20" s="5" t="s">
        <v>23</v>
      </c>
      <c r="B20" s="5"/>
      <c r="C20" s="5"/>
      <c r="D20" s="5"/>
    </row>
    <row r="21" spans="1:4" x14ac:dyDescent="0.25">
      <c r="A21" s="3" t="s">
        <v>24</v>
      </c>
      <c r="B21" s="4">
        <v>1200000</v>
      </c>
      <c r="C21" s="4">
        <v>1450000</v>
      </c>
      <c r="D21" s="3" t="s">
        <v>25</v>
      </c>
    </row>
    <row r="22" spans="1:4" x14ac:dyDescent="0.25">
      <c r="A22" s="3" t="s">
        <v>26</v>
      </c>
      <c r="B22" s="4">
        <v>30000</v>
      </c>
      <c r="C22" s="4">
        <v>40000</v>
      </c>
      <c r="D22" s="3" t="s">
        <v>27</v>
      </c>
    </row>
    <row r="23" spans="1:4" x14ac:dyDescent="0.25">
      <c r="A23" s="3"/>
      <c r="B23" s="4"/>
      <c r="C23" s="4"/>
      <c r="D23" s="3"/>
    </row>
    <row r="24" spans="1:4" x14ac:dyDescent="0.25">
      <c r="A24" s="5" t="s">
        <v>28</v>
      </c>
      <c r="B24" s="5"/>
      <c r="C24" s="5"/>
      <c r="D24" s="5"/>
    </row>
    <row r="25" spans="1:4" x14ac:dyDescent="0.25">
      <c r="A25" s="3" t="s">
        <v>29</v>
      </c>
      <c r="B25" s="4">
        <v>720000</v>
      </c>
      <c r="C25" s="4">
        <v>870000</v>
      </c>
      <c r="D25" s="3" t="s">
        <v>30</v>
      </c>
    </row>
    <row r="26" spans="1:4" x14ac:dyDescent="0.25">
      <c r="A26" s="3" t="s">
        <v>31</v>
      </c>
      <c r="B26" s="4">
        <v>280000</v>
      </c>
      <c r="C26" s="4">
        <v>310000</v>
      </c>
      <c r="D26" s="3" t="s">
        <v>32</v>
      </c>
    </row>
    <row r="27" spans="1:4" x14ac:dyDescent="0.25">
      <c r="A27" s="3" t="s">
        <v>33</v>
      </c>
      <c r="B27" s="4">
        <v>18000</v>
      </c>
      <c r="C27" s="4">
        <v>22000</v>
      </c>
      <c r="D27" s="3" t="s">
        <v>34</v>
      </c>
    </row>
    <row r="28" spans="1:4" x14ac:dyDescent="0.25">
      <c r="A28" s="3" t="s">
        <v>35</v>
      </c>
      <c r="B28" s="4">
        <v>25000</v>
      </c>
      <c r="C28" s="4">
        <v>30000</v>
      </c>
      <c r="D28" s="3" t="s">
        <v>36</v>
      </c>
    </row>
    <row r="30" spans="1:4" x14ac:dyDescent="0.25">
      <c r="A30" s="8" t="s">
        <v>71</v>
      </c>
      <c r="B30" s="8"/>
      <c r="C30" s="8"/>
      <c r="D30" s="8"/>
    </row>
    <row r="31" spans="1:4" x14ac:dyDescent="0.25">
      <c r="A31" s="1" t="s">
        <v>19</v>
      </c>
      <c r="B31" s="1" t="s">
        <v>20</v>
      </c>
      <c r="C31" s="1" t="s">
        <v>21</v>
      </c>
      <c r="D31" s="1" t="s">
        <v>22</v>
      </c>
    </row>
    <row r="32" spans="1:4" x14ac:dyDescent="0.25">
      <c r="A32" s="5" t="s">
        <v>37</v>
      </c>
      <c r="B32" s="5"/>
      <c r="C32" s="5"/>
      <c r="D32" s="5"/>
    </row>
    <row r="33" spans="1:4" x14ac:dyDescent="0.25">
      <c r="A33" s="3" t="s">
        <v>38</v>
      </c>
      <c r="B33" s="4">
        <v>120000</v>
      </c>
      <c r="C33" s="4">
        <v>150000</v>
      </c>
      <c r="D33" s="3" t="s">
        <v>39</v>
      </c>
    </row>
    <row r="34" spans="1:4" x14ac:dyDescent="0.25">
      <c r="A34" s="3" t="s">
        <v>40</v>
      </c>
      <c r="B34" s="4">
        <v>180000</v>
      </c>
      <c r="C34" s="4">
        <v>210000</v>
      </c>
      <c r="D34" s="3" t="s">
        <v>41</v>
      </c>
    </row>
    <row r="35" spans="1:4" x14ac:dyDescent="0.25">
      <c r="A35" s="3" t="s">
        <v>42</v>
      </c>
      <c r="B35" s="4">
        <v>200000</v>
      </c>
      <c r="C35" s="4">
        <v>230000</v>
      </c>
      <c r="D35" s="3" t="s">
        <v>43</v>
      </c>
    </row>
    <row r="36" spans="1:4" x14ac:dyDescent="0.25">
      <c r="A36" s="3" t="s">
        <v>44</v>
      </c>
      <c r="B36" s="4">
        <v>350000</v>
      </c>
      <c r="C36" s="4">
        <v>370000</v>
      </c>
      <c r="D36" s="3" t="s">
        <v>45</v>
      </c>
    </row>
    <row r="37" spans="1:4" x14ac:dyDescent="0.25">
      <c r="A37" s="3" t="s">
        <v>64</v>
      </c>
      <c r="B37" s="3">
        <f>SUM(B33:B36)</f>
        <v>850000</v>
      </c>
      <c r="C37" s="3">
        <f>SUM(C33:C36)</f>
        <v>960000</v>
      </c>
      <c r="D37" s="3" t="s">
        <v>65</v>
      </c>
    </row>
    <row r="38" spans="1:4" x14ac:dyDescent="0.25">
      <c r="A38" s="3"/>
      <c r="B38" s="3"/>
      <c r="C38" s="3"/>
      <c r="D38" s="3"/>
    </row>
    <row r="39" spans="1:4" x14ac:dyDescent="0.25">
      <c r="A39" s="5" t="s">
        <v>46</v>
      </c>
      <c r="B39" s="5"/>
      <c r="C39" s="5"/>
      <c r="D39" s="5"/>
    </row>
    <row r="40" spans="1:4" x14ac:dyDescent="0.25">
      <c r="A40" s="3" t="s">
        <v>47</v>
      </c>
      <c r="B40" s="4">
        <v>220000</v>
      </c>
      <c r="C40" s="4">
        <v>240000</v>
      </c>
      <c r="D40" s="3" t="s">
        <v>48</v>
      </c>
    </row>
    <row r="41" spans="1:4" x14ac:dyDescent="0.25">
      <c r="A41" s="3" t="s">
        <v>49</v>
      </c>
      <c r="B41" s="4">
        <v>180000</v>
      </c>
      <c r="C41" s="4">
        <v>170000</v>
      </c>
      <c r="D41" s="3" t="s">
        <v>50</v>
      </c>
    </row>
    <row r="42" spans="1:4" x14ac:dyDescent="0.25">
      <c r="A42" s="3" t="s">
        <v>66</v>
      </c>
      <c r="B42" s="3">
        <f>SUM(B40:B41)</f>
        <v>400000</v>
      </c>
      <c r="C42" s="3">
        <f>SUM(C40:C41)</f>
        <v>410000</v>
      </c>
      <c r="D42" s="3"/>
    </row>
    <row r="43" spans="1:4" x14ac:dyDescent="0.25">
      <c r="A43" s="3"/>
      <c r="B43" s="3"/>
      <c r="C43" s="3"/>
      <c r="D43" s="3"/>
    </row>
    <row r="44" spans="1:4" x14ac:dyDescent="0.25">
      <c r="A44" s="5" t="s">
        <v>51</v>
      </c>
      <c r="B44" s="5"/>
      <c r="C44" s="5"/>
      <c r="D44" s="5"/>
    </row>
    <row r="45" spans="1:4" x14ac:dyDescent="0.25">
      <c r="A45" s="3" t="s">
        <v>52</v>
      </c>
      <c r="B45" s="4">
        <v>300000</v>
      </c>
      <c r="C45" s="4">
        <v>300000</v>
      </c>
      <c r="D45" s="3" t="s">
        <v>53</v>
      </c>
    </row>
    <row r="46" spans="1:4" x14ac:dyDescent="0.25">
      <c r="A46" s="3" t="s">
        <v>54</v>
      </c>
      <c r="B46" s="4">
        <v>150000</v>
      </c>
      <c r="C46" s="4">
        <v>250000</v>
      </c>
      <c r="D46" s="3" t="s">
        <v>55</v>
      </c>
    </row>
    <row r="47" spans="1:4" x14ac:dyDescent="0.25">
      <c r="A47" s="6" t="s">
        <v>67</v>
      </c>
      <c r="B47">
        <f>SUM(B45:B46)</f>
        <v>450000</v>
      </c>
      <c r="C47">
        <f>SUM(C45:C46)</f>
        <v>550000</v>
      </c>
    </row>
    <row r="49" spans="1:4" x14ac:dyDescent="0.25">
      <c r="A49" t="s">
        <v>68</v>
      </c>
      <c r="B49">
        <f>B47+B42</f>
        <v>850000</v>
      </c>
      <c r="C49">
        <f>C47+C42</f>
        <v>960000</v>
      </c>
      <c r="D49" t="s">
        <v>69</v>
      </c>
    </row>
    <row r="51" spans="1:4" x14ac:dyDescent="0.25">
      <c r="A51" s="8" t="s">
        <v>72</v>
      </c>
      <c r="B51" s="8"/>
      <c r="C51" s="8"/>
      <c r="D51" s="8"/>
    </row>
    <row r="52" spans="1:4" x14ac:dyDescent="0.25">
      <c r="A52" s="1" t="s">
        <v>19</v>
      </c>
      <c r="B52" s="1" t="s">
        <v>10</v>
      </c>
      <c r="D52" s="1" t="s">
        <v>22</v>
      </c>
    </row>
    <row r="53" spans="1:4" x14ac:dyDescent="0.25">
      <c r="A53" s="3" t="s">
        <v>56</v>
      </c>
      <c r="B53" s="4">
        <v>120</v>
      </c>
      <c r="D53" s="3" t="s">
        <v>57</v>
      </c>
    </row>
    <row r="54" spans="1:4" x14ac:dyDescent="0.25">
      <c r="A54" s="3" t="s">
        <v>58</v>
      </c>
      <c r="B54" s="4">
        <v>75</v>
      </c>
      <c r="D54" s="3" t="s">
        <v>59</v>
      </c>
    </row>
    <row r="55" spans="1:4" x14ac:dyDescent="0.25">
      <c r="A55" s="3" t="s">
        <v>60</v>
      </c>
      <c r="B55" s="4">
        <v>85000</v>
      </c>
      <c r="D55" s="3" t="s">
        <v>61</v>
      </c>
    </row>
    <row r="56" spans="1:4" x14ac:dyDescent="0.25">
      <c r="A56" s="3" t="s">
        <v>62</v>
      </c>
      <c r="B56" s="4">
        <v>1000</v>
      </c>
      <c r="D56" s="3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Antulio Gutierrez Tumax</cp:lastModifiedBy>
  <dcterms:created xsi:type="dcterms:W3CDTF">2025-10-04T18:28:20Z</dcterms:created>
  <dcterms:modified xsi:type="dcterms:W3CDTF">2025-10-07T23:41:12Z</dcterms:modified>
</cp:coreProperties>
</file>